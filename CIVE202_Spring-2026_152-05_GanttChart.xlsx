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owens\OneDrive\Documents\"/>
    </mc:Choice>
  </mc:AlternateContent>
  <xr:revisionPtr revIDLastSave="0" documentId="8_{8072AC6D-7DF6-4C9C-80D6-370AD5CD4125}" xr6:coauthVersionLast="47" xr6:coauthVersionMax="47" xr10:uidLastSave="{00000000-0000-0000-0000-000000000000}"/>
  <bookViews>
    <workbookView xWindow="-110" yWindow="-110" windowWidth="25820" windowHeight="1550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11" l="1"/>
  <c r="F22" i="11"/>
  <c r="E23" i="11"/>
  <c r="F21" i="11"/>
  <c r="E21" i="11"/>
  <c r="E18" i="11"/>
  <c r="E15" i="11"/>
  <c r="F12" i="11"/>
  <c r="E12" i="11"/>
  <c r="F11" i="11"/>
  <c r="E10" i="11"/>
  <c r="E11" i="11"/>
  <c r="F10" i="11"/>
  <c r="F24" i="11"/>
  <c r="E24" i="11"/>
  <c r="F9" i="11"/>
  <c r="Q1" i="11"/>
  <c r="H7" i="11"/>
  <c r="E9" i="11" l="1"/>
  <c r="E22" i="11" l="1"/>
  <c r="I5" i="11"/>
  <c r="H33" i="11"/>
  <c r="H32" i="11"/>
  <c r="H26" i="11"/>
  <c r="H20" i="11"/>
  <c r="H14" i="11"/>
  <c r="H8" i="11"/>
  <c r="H21" i="11" l="1"/>
  <c r="H22" i="11"/>
  <c r="H9" i="11"/>
  <c r="I6" i="11"/>
  <c r="H31" i="11" l="1"/>
  <c r="H28" i="11"/>
  <c r="H30" i="11"/>
  <c r="H27" i="11"/>
  <c r="H25" i="11"/>
  <c r="H10" i="11"/>
  <c r="H23" i="11"/>
  <c r="J5" i="11"/>
  <c r="K5" i="11" s="1"/>
  <c r="L5" i="11" s="1"/>
  <c r="M5" i="11" s="1"/>
  <c r="N5" i="11" s="1"/>
  <c r="O5" i="11" s="1"/>
  <c r="P5" i="11" s="1"/>
  <c r="I4" i="11"/>
  <c r="H29" i="11" l="1"/>
  <c r="H24" i="11"/>
  <c r="H11" i="11"/>
  <c r="P4" i="11"/>
  <c r="Q5" i="11"/>
  <c r="R5" i="11" s="1"/>
  <c r="S5" i="11" s="1"/>
  <c r="T5" i="11" s="1"/>
  <c r="U5" i="11" s="1"/>
  <c r="V5" i="11" s="1"/>
  <c r="W5" i="11" s="1"/>
  <c r="J6" i="11"/>
  <c r="H12" i="11" l="1"/>
  <c r="E13" i="11"/>
  <c r="W4" i="11"/>
  <c r="X5" i="11"/>
  <c r="Y5" i="11" s="1"/>
  <c r="Z5" i="11" s="1"/>
  <c r="AA5" i="11" s="1"/>
  <c r="AB5" i="11" s="1"/>
  <c r="AC5" i="11" s="1"/>
  <c r="AD5" i="11" s="1"/>
  <c r="K6" i="11"/>
  <c r="H13" i="11" l="1"/>
  <c r="AE5" i="11"/>
  <c r="AF5" i="11" s="1"/>
  <c r="AG5" i="11" s="1"/>
  <c r="AH5" i="11" s="1"/>
  <c r="AI5" i="11" s="1"/>
  <c r="AJ5" i="11" s="1"/>
  <c r="AD4" i="11"/>
  <c r="L6" i="11"/>
  <c r="F15" i="11" l="1"/>
  <c r="H15" i="11" s="1"/>
  <c r="E16" i="11"/>
  <c r="AK5" i="11"/>
  <c r="AL5" i="11" s="1"/>
  <c r="AM5" i="11" s="1"/>
  <c r="AN5" i="11" s="1"/>
  <c r="AO5" i="11" s="1"/>
  <c r="AP5" i="11" s="1"/>
  <c r="AQ5" i="11" s="1"/>
  <c r="M6" i="11"/>
  <c r="F16" i="11" l="1"/>
  <c r="E17" i="11" s="1"/>
  <c r="H16" i="11"/>
  <c r="AR5" i="11"/>
  <c r="AS5" i="11" s="1"/>
  <c r="AK4" i="11"/>
  <c r="N6" i="11"/>
  <c r="F17" i="11" l="1"/>
  <c r="H17" i="11"/>
  <c r="AT5" i="11"/>
  <c r="AS6" i="11"/>
  <c r="AR4" i="11"/>
  <c r="O6" i="11"/>
  <c r="E19" i="11" l="1"/>
  <c r="H19" i="11" s="1"/>
  <c r="F18" i="11"/>
  <c r="H18" i="11" s="1"/>
  <c r="AU5" i="1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<sst xmlns="http://schemas.openxmlformats.org/spreadsheetml/2006/main" count="42" uniqueCount="41">
  <si>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</si>
  <si>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</si>
  <si>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</si>
  <si>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</si>
  <si>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</si>
  <si>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</si>
  <si>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</si>
  <si>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</si>
  <si>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</si>
  <si>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</si>
  <si>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</si>
  <si>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</si>
  <si>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</si>
  <si>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</si>
  <si>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</si>
  <si>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</si>
  <si>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</si>
  <si>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</si>
  <si>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</si>
  <si>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</si>
  <si>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</si>
  <si>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</si>
  <si>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Execution</t>
  </si>
  <si>
    <t>Project start:</t>
  </si>
  <si>
    <t>Display week:</t>
  </si>
  <si>
    <t>ASSIGNED TO</t>
  </si>
  <si>
    <t>CIVE 202 Project 4</t>
  </si>
  <si>
    <t>Group 152-05</t>
  </si>
  <si>
    <t>SOW</t>
  </si>
  <si>
    <t>Gantt chart</t>
  </si>
  <si>
    <t>Timesheet</t>
  </si>
  <si>
    <t>Submission</t>
  </si>
  <si>
    <t>Data cleaning</t>
  </si>
  <si>
    <t>Initial analysis/state selection</t>
  </si>
  <si>
    <t>Data import</t>
  </si>
  <si>
    <t>Primary analysis</t>
  </si>
  <si>
    <t>Map production</t>
  </si>
  <si>
    <t>Double checking</t>
  </si>
  <si>
    <t>Report writing</t>
  </si>
  <si>
    <t>ACD writing</t>
  </si>
  <si>
    <t>GitHub &amp; Canvas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</si>
</sst>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2"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6"/>
  <sheetViews>
    <sheetView showGridLines="0" tabSelected="1" showRuler="0" zoomScaleNormal="100" zoomScalePageLayoutView="70" workbookViewId="0">
      <selection activeCell="E22" sqref="E22"/>
    </sheetView>
  </sheetViews>
  <sheetFormatPr defaultColWidth="8.6640625" defaultRowHeight="30" customHeight="1" x14ac:dyDescent="0.3"/>
  <cols>
    <col min="1" max="1" width="2.6640625" style="13"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5" width="2.6640625" customWidth="1"/>
  </cols>
  <sheetData>
    <row r="1" spans="1:64" ht="90" customHeight="1" x14ac:dyDescent="1.7">
      <c r="A1" s="14"/>
      <c r="B1" s="98" t="s">
        <v>26</v>
      </c>
      <c r="C1" s="18"/>
      <c r="D1" s="19"/>
      <c r="E1" s="20"/>
      <c r="F1" s="21"/>
      <c r="H1" s="1"/>
      <c r="I1" s="115" t="s">
        <v>23</v>
      </c>
      <c r="J1" s="116"/>
      <c r="K1" s="116"/>
      <c r="L1" s="116"/>
      <c r="M1" s="116"/>
      <c r="N1" s="116"/>
      <c r="O1" s="116"/>
      <c r="P1" s="24"/>
      <c r="Q1" s="114">
        <f>DATE(2025,4,1)</f>
        <v>45748</v>
      </c>
      <c r="R1" s="113"/>
      <c r="S1" s="113"/>
      <c r="T1" s="113"/>
      <c r="U1" s="113"/>
      <c r="V1" s="113"/>
      <c r="W1" s="113"/>
      <c r="X1" s="113"/>
      <c r="Y1" s="113"/>
      <c r="Z1" s="113"/>
    </row>
    <row r="2" spans="1:64" ht="30" customHeight="1" x14ac:dyDescent="0.7">
      <c r="B2" s="96" t="s">
        <v>27</v>
      </c>
      <c r="C2" s="97"/>
      <c r="D2" s="22"/>
      <c r="E2" s="23"/>
      <c r="F2" s="22"/>
      <c r="I2" s="115" t="s">
        <v>24</v>
      </c>
      <c r="J2" s="116"/>
      <c r="K2" s="116"/>
      <c r="L2" s="116"/>
      <c r="M2" s="116"/>
      <c r="N2" s="116"/>
      <c r="O2" s="116"/>
      <c r="P2" s="24"/>
      <c r="Q2" s="112">
        <v>1</v>
      </c>
      <c r="R2" s="113"/>
      <c r="S2" s="113"/>
      <c r="T2" s="113"/>
      <c r="U2" s="113"/>
      <c r="V2" s="113"/>
      <c r="W2" s="113"/>
      <c r="X2" s="113"/>
      <c r="Y2" s="113"/>
      <c r="Z2" s="113"/>
    </row>
    <row r="3" spans="1:64" s="26" customFormat="1" ht="30" customHeight="1" x14ac:dyDescent="0.3">
      <c r="A3" s="13"/>
      <c r="B3" s="25" t="s">
        <v>8</v>
      </c>
      <c r="D3" s="27"/>
      <c r="E3" s="28"/>
    </row>
    <row r="4" spans="1:64" s="26" customFormat="1" ht="30" customHeight="1" x14ac:dyDescent="0.3">
      <c r="A4" s="14"/>
      <c r="B4" s="29" t="s">
        <v>13</v>
      </c>
      <c r="E4" s="30"/>
      <c r="I4" s="119">
        <f>I5</f>
        <v>45747</v>
      </c>
      <c r="J4" s="117"/>
      <c r="K4" s="117"/>
      <c r="L4" s="117"/>
      <c r="M4" s="117"/>
      <c r="N4" s="117"/>
      <c r="O4" s="117"/>
      <c r="P4" s="117">
        <f>P5</f>
        <v>45754</v>
      </c>
      <c r="Q4" s="117"/>
      <c r="R4" s="117"/>
      <c r="S4" s="117"/>
      <c r="T4" s="117"/>
      <c r="U4" s="117"/>
      <c r="V4" s="117"/>
      <c r="W4" s="117">
        <f>W5</f>
        <v>45761</v>
      </c>
      <c r="X4" s="117"/>
      <c r="Y4" s="117"/>
      <c r="Z4" s="117"/>
      <c r="AA4" s="117"/>
      <c r="AB4" s="117"/>
      <c r="AC4" s="117"/>
      <c r="AD4" s="117">
        <f>AD5</f>
        <v>45768</v>
      </c>
      <c r="AE4" s="117"/>
      <c r="AF4" s="117"/>
      <c r="AG4" s="117"/>
      <c r="AH4" s="117"/>
      <c r="AI4" s="117"/>
      <c r="AJ4" s="117"/>
      <c r="AK4" s="117">
        <f>AK5</f>
        <v>45775</v>
      </c>
      <c r="AL4" s="117"/>
      <c r="AM4" s="117"/>
      <c r="AN4" s="117"/>
      <c r="AO4" s="117"/>
      <c r="AP4" s="117"/>
      <c r="AQ4" s="117"/>
      <c r="AR4" s="117">
        <f>AR5</f>
        <v>45782</v>
      </c>
      <c r="AS4" s="117"/>
      <c r="AT4" s="117"/>
      <c r="AU4" s="117"/>
      <c r="AV4" s="117"/>
      <c r="AW4" s="117"/>
      <c r="AX4" s="117"/>
      <c r="AY4" s="117">
        <f>AY5</f>
        <v>45789</v>
      </c>
      <c r="AZ4" s="117"/>
      <c r="BA4" s="117"/>
      <c r="BB4" s="117"/>
      <c r="BC4" s="117"/>
      <c r="BD4" s="117"/>
      <c r="BE4" s="117"/>
      <c r="BF4" s="117">
        <f>BF5</f>
        <v>45796</v>
      </c>
      <c r="BG4" s="117"/>
      <c r="BH4" s="117"/>
      <c r="BI4" s="117"/>
      <c r="BJ4" s="117"/>
      <c r="BK4" s="117"/>
      <c r="BL4" s="118"/>
    </row>
    <row r="5" spans="1:64" s="26" customFormat="1" ht="15" customHeight="1" x14ac:dyDescent="0.3">
      <c r="A5" s="106"/>
      <c r="B5" s="107" t="s">
        <v>5</v>
      </c>
      <c r="C5" s="109" t="s">
        <v>25</v>
      </c>
      <c r="D5" s="111" t="s">
        <v>1</v>
      </c>
      <c r="E5" s="111" t="s">
        <v>3</v>
      </c>
      <c r="F5" s="111" t="s">
        <v>4</v>
      </c>
      <c r="I5" s="31">
        <f>Project_Start-WEEKDAY(Project_Start,1)+2+7*(Display_Week-1)</f>
        <v>45747</v>
      </c>
      <c r="J5" s="31">
        <f>I5+1</f>
        <v>45748</v>
      </c>
      <c r="K5" s="31">
        <f t="shared" ref="K5:AX5" si="0">J5+1</f>
        <v>45749</v>
      </c>
      <c r="L5" s="31">
        <f t="shared" si="0"/>
        <v>45750</v>
      </c>
      <c r="M5" s="31">
        <f t="shared" si="0"/>
        <v>45751</v>
      </c>
      <c r="N5" s="31">
        <f t="shared" si="0"/>
        <v>45752</v>
      </c>
      <c r="O5" s="32">
        <f t="shared" si="0"/>
        <v>45753</v>
      </c>
      <c r="P5" s="33">
        <f>O5+1</f>
        <v>45754</v>
      </c>
      <c r="Q5" s="31">
        <f>P5+1</f>
        <v>45755</v>
      </c>
      <c r="R5" s="31">
        <f t="shared" si="0"/>
        <v>45756</v>
      </c>
      <c r="S5" s="31">
        <f t="shared" si="0"/>
        <v>45757</v>
      </c>
      <c r="T5" s="31">
        <f t="shared" si="0"/>
        <v>45758</v>
      </c>
      <c r="U5" s="31">
        <f t="shared" si="0"/>
        <v>45759</v>
      </c>
      <c r="V5" s="32">
        <f t="shared" si="0"/>
        <v>45760</v>
      </c>
      <c r="W5" s="33">
        <f>V5+1</f>
        <v>45761</v>
      </c>
      <c r="X5" s="31">
        <f>W5+1</f>
        <v>45762</v>
      </c>
      <c r="Y5" s="31">
        <f t="shared" si="0"/>
        <v>45763</v>
      </c>
      <c r="Z5" s="31">
        <f t="shared" si="0"/>
        <v>45764</v>
      </c>
      <c r="AA5" s="31">
        <f t="shared" si="0"/>
        <v>45765</v>
      </c>
      <c r="AB5" s="31">
        <f t="shared" si="0"/>
        <v>45766</v>
      </c>
      <c r="AC5" s="32">
        <f t="shared" si="0"/>
        <v>45767</v>
      </c>
      <c r="AD5" s="33">
        <f>AC5+1</f>
        <v>45768</v>
      </c>
      <c r="AE5" s="31">
        <f>AD5+1</f>
        <v>45769</v>
      </c>
      <c r="AF5" s="31">
        <f t="shared" si="0"/>
        <v>45770</v>
      </c>
      <c r="AG5" s="31">
        <f t="shared" si="0"/>
        <v>45771</v>
      </c>
      <c r="AH5" s="31">
        <f t="shared" si="0"/>
        <v>45772</v>
      </c>
      <c r="AI5" s="31">
        <f t="shared" si="0"/>
        <v>45773</v>
      </c>
      <c r="AJ5" s="32">
        <f t="shared" si="0"/>
        <v>45774</v>
      </c>
      <c r="AK5" s="33">
        <f>AJ5+1</f>
        <v>45775</v>
      </c>
      <c r="AL5" s="31">
        <f>AK5+1</f>
        <v>45776</v>
      </c>
      <c r="AM5" s="31">
        <f t="shared" si="0"/>
        <v>45777</v>
      </c>
      <c r="AN5" s="31">
        <f t="shared" si="0"/>
        <v>45778</v>
      </c>
      <c r="AO5" s="31">
        <f t="shared" si="0"/>
        <v>45779</v>
      </c>
      <c r="AP5" s="31">
        <f t="shared" si="0"/>
        <v>45780</v>
      </c>
      <c r="AQ5" s="32">
        <f t="shared" si="0"/>
        <v>45781</v>
      </c>
      <c r="AR5" s="33">
        <f>AQ5+1</f>
        <v>45782</v>
      </c>
      <c r="AS5" s="31">
        <f>AR5+1</f>
        <v>45783</v>
      </c>
      <c r="AT5" s="31">
        <f t="shared" si="0"/>
        <v>45784</v>
      </c>
      <c r="AU5" s="31">
        <f t="shared" si="0"/>
        <v>45785</v>
      </c>
      <c r="AV5" s="31">
        <f t="shared" si="0"/>
        <v>45786</v>
      </c>
      <c r="AW5" s="31">
        <f t="shared" si="0"/>
        <v>45787</v>
      </c>
      <c r="AX5" s="32">
        <f t="shared" si="0"/>
        <v>45788</v>
      </c>
      <c r="AY5" s="33">
        <f>AX5+1</f>
        <v>45789</v>
      </c>
      <c r="AZ5" s="31">
        <f>AY5+1</f>
        <v>45790</v>
      </c>
      <c r="BA5" s="31">
        <f t="shared" ref="BA5:BE5" si="1">AZ5+1</f>
        <v>45791</v>
      </c>
      <c r="BB5" s="31">
        <f t="shared" si="1"/>
        <v>45792</v>
      </c>
      <c r="BC5" s="31">
        <f t="shared" si="1"/>
        <v>45793</v>
      </c>
      <c r="BD5" s="31">
        <f t="shared" si="1"/>
        <v>45794</v>
      </c>
      <c r="BE5" s="32">
        <f t="shared" si="1"/>
        <v>45795</v>
      </c>
      <c r="BF5" s="33">
        <f>BE5+1</f>
        <v>45796</v>
      </c>
      <c r="BG5" s="31">
        <f>BF5+1</f>
        <v>45797</v>
      </c>
      <c r="BH5" s="31">
        <f t="shared" ref="BH5:BL5" si="2">BG5+1</f>
        <v>45798</v>
      </c>
      <c r="BI5" s="31">
        <f t="shared" si="2"/>
        <v>45799</v>
      </c>
      <c r="BJ5" s="31">
        <f t="shared" si="2"/>
        <v>45800</v>
      </c>
      <c r="BK5" s="31">
        <f t="shared" si="2"/>
        <v>45801</v>
      </c>
      <c r="BL5" s="31">
        <f t="shared" si="2"/>
        <v>45802</v>
      </c>
    </row>
    <row r="6" spans="1:64" s="26" customFormat="1" ht="15" customHeight="1" thickBot="1" x14ac:dyDescent="0.35">
      <c r="A6" s="106"/>
      <c r="B6" s="108"/>
      <c r="C6" s="110"/>
      <c r="D6" s="110"/>
      <c r="E6" s="110"/>
      <c r="F6" s="110"/>
      <c r="I6" s="34" t="str">
        <f t="shared" ref="I6:AN6" si="3">LEFT(TEXT(I5,"ddd"),1)</f>
        <v>M</v>
      </c>
      <c r="J6" s="35" t="str">
        <f t="shared" si="3"/>
        <v>T</v>
      </c>
      <c r="K6" s="35" t="str">
        <f t="shared" si="3"/>
        <v>W</v>
      </c>
      <c r="L6" s="35" t="str">
        <f t="shared" si="3"/>
        <v>T</v>
      </c>
      <c r="M6" s="35" t="str">
        <f t="shared" si="3"/>
        <v>F</v>
      </c>
      <c r="N6" s="35" t="str">
        <f t="shared" si="3"/>
        <v>S</v>
      </c>
      <c r="O6" s="35" t="str">
        <f t="shared" si="3"/>
        <v>S</v>
      </c>
      <c r="P6" s="35" t="str">
        <f t="shared" si="3"/>
        <v>M</v>
      </c>
      <c r="Q6" s="35" t="str">
        <f t="shared" si="3"/>
        <v>T</v>
      </c>
      <c r="R6" s="35" t="str">
        <f t="shared" si="3"/>
        <v>W</v>
      </c>
      <c r="S6" s="35" t="str">
        <f t="shared" si="3"/>
        <v>T</v>
      </c>
      <c r="T6" s="35" t="str">
        <f t="shared" si="3"/>
        <v>F</v>
      </c>
      <c r="U6" s="35" t="str">
        <f t="shared" si="3"/>
        <v>S</v>
      </c>
      <c r="V6" s="35" t="str">
        <f t="shared" si="3"/>
        <v>S</v>
      </c>
      <c r="W6" s="35" t="str">
        <f t="shared" si="3"/>
        <v>M</v>
      </c>
      <c r="X6" s="35" t="str">
        <f t="shared" si="3"/>
        <v>T</v>
      </c>
      <c r="Y6" s="35" t="str">
        <f t="shared" si="3"/>
        <v>W</v>
      </c>
      <c r="Z6" s="35" t="str">
        <f t="shared" si="3"/>
        <v>T</v>
      </c>
      <c r="AA6" s="35" t="str">
        <f t="shared" si="3"/>
        <v>F</v>
      </c>
      <c r="AB6" s="35" t="str">
        <f t="shared" si="3"/>
        <v>S</v>
      </c>
      <c r="AC6" s="35" t="str">
        <f t="shared" si="3"/>
        <v>S</v>
      </c>
      <c r="AD6" s="35" t="str">
        <f t="shared" si="3"/>
        <v>M</v>
      </c>
      <c r="AE6" s="35" t="str">
        <f t="shared" si="3"/>
        <v>T</v>
      </c>
      <c r="AF6" s="35" t="str">
        <f t="shared" si="3"/>
        <v>W</v>
      </c>
      <c r="AG6" s="35" t="str">
        <f t="shared" si="3"/>
        <v>T</v>
      </c>
      <c r="AH6" s="35" t="str">
        <f t="shared" si="3"/>
        <v>F</v>
      </c>
      <c r="AI6" s="35" t="str">
        <f t="shared" si="3"/>
        <v>S</v>
      </c>
      <c r="AJ6" s="35" t="str">
        <f t="shared" si="3"/>
        <v>S</v>
      </c>
      <c r="AK6" s="35" t="str">
        <f t="shared" si="3"/>
        <v>M</v>
      </c>
      <c r="AL6" s="35" t="str">
        <f t="shared" si="3"/>
        <v>T</v>
      </c>
      <c r="AM6" s="35" t="str">
        <f t="shared" si="3"/>
        <v>W</v>
      </c>
      <c r="AN6" s="35" t="str">
        <f t="shared" si="3"/>
        <v>T</v>
      </c>
      <c r="AO6" s="35" t="str">
        <f t="shared" ref="AO6:BL6" si="4">LEFT(TEXT(AO5,"ddd"),1)</f>
        <v>F</v>
      </c>
      <c r="AP6" s="35" t="str">
        <f t="shared" si="4"/>
        <v>S</v>
      </c>
      <c r="AQ6" s="35" t="str">
        <f t="shared" si="4"/>
        <v>S</v>
      </c>
      <c r="AR6" s="35" t="str">
        <f t="shared" si="4"/>
        <v>M</v>
      </c>
      <c r="AS6" s="35" t="str">
        <f t="shared" si="4"/>
        <v>T</v>
      </c>
      <c r="AT6" s="35" t="str">
        <f t="shared" si="4"/>
        <v>W</v>
      </c>
      <c r="AU6" s="35" t="str">
        <f t="shared" si="4"/>
        <v>T</v>
      </c>
      <c r="AV6" s="35" t="str">
        <f t="shared" si="4"/>
        <v>F</v>
      </c>
      <c r="AW6" s="35" t="str">
        <f t="shared" si="4"/>
        <v>S</v>
      </c>
      <c r="AX6" s="35" t="str">
        <f t="shared" si="4"/>
        <v>S</v>
      </c>
      <c r="AY6" s="35" t="str">
        <f t="shared" si="4"/>
        <v>M</v>
      </c>
      <c r="AZ6" s="35" t="str">
        <f t="shared" si="4"/>
        <v>T</v>
      </c>
      <c r="BA6" s="35" t="str">
        <f t="shared" si="4"/>
        <v>W</v>
      </c>
      <c r="BB6" s="35" t="str">
        <f t="shared" si="4"/>
        <v>T</v>
      </c>
      <c r="BC6" s="35" t="str">
        <f t="shared" si="4"/>
        <v>F</v>
      </c>
      <c r="BD6" s="35" t="str">
        <f t="shared" si="4"/>
        <v>S</v>
      </c>
      <c r="BE6" s="35" t="str">
        <f t="shared" si="4"/>
        <v>S</v>
      </c>
      <c r="BF6" s="35" t="str">
        <f t="shared" si="4"/>
        <v>M</v>
      </c>
      <c r="BG6" s="35" t="str">
        <f t="shared" si="4"/>
        <v>T</v>
      </c>
      <c r="BH6" s="35" t="str">
        <f t="shared" si="4"/>
        <v>W</v>
      </c>
      <c r="BI6" s="35" t="str">
        <f t="shared" si="4"/>
        <v>T</v>
      </c>
      <c r="BJ6" s="35" t="str">
        <f t="shared" si="4"/>
        <v>F</v>
      </c>
      <c r="BK6" s="35" t="str">
        <f t="shared" si="4"/>
        <v>S</v>
      </c>
      <c r="BL6" s="36" t="str">
        <f t="shared" si="4"/>
        <v>S</v>
      </c>
    </row>
    <row r="7" spans="1:64" s="26" customFormat="1" ht="30" hidden="1" customHeight="1" thickBot="1" x14ac:dyDescent="0.35">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35">
      <c r="A8" s="14"/>
      <c r="B8" s="40" t="s">
        <v>21</v>
      </c>
      <c r="C8" s="41"/>
      <c r="D8" s="42"/>
      <c r="E8" s="43"/>
      <c r="F8" s="44"/>
      <c r="G8" s="17"/>
      <c r="H8" s="5" t="str">
        <f t="shared" ref="H8:H33"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35">
      <c r="A9" s="14"/>
      <c r="B9" s="47" t="s">
        <v>33</v>
      </c>
      <c r="C9" s="48"/>
      <c r="D9" s="49"/>
      <c r="E9" s="50">
        <f>Project_Start</f>
        <v>45748</v>
      </c>
      <c r="F9" s="50">
        <f>E9+1</f>
        <v>45749</v>
      </c>
      <c r="G9" s="17"/>
      <c r="H9" s="5">
        <f t="shared" si="5"/>
        <v>2</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35">
      <c r="A10" s="14"/>
      <c r="B10" s="52" t="s">
        <v>29</v>
      </c>
      <c r="C10" s="53"/>
      <c r="D10" s="54"/>
      <c r="E10" s="55">
        <f>E9</f>
        <v>45748</v>
      </c>
      <c r="F10" s="55">
        <f>E10+1</f>
        <v>45749</v>
      </c>
      <c r="G10" s="17"/>
      <c r="H10" s="5">
        <f t="shared" si="5"/>
        <v>2</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35">
      <c r="A11" s="13"/>
      <c r="B11" s="52" t="s">
        <v>28</v>
      </c>
      <c r="C11" s="53"/>
      <c r="D11" s="54"/>
      <c r="E11" s="55">
        <f>E9</f>
        <v>45748</v>
      </c>
      <c r="F11" s="55">
        <f>E11+3</f>
        <v>45751</v>
      </c>
      <c r="G11" s="17"/>
      <c r="H11" s="5">
        <f t="shared" si="5"/>
        <v>4</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35">
      <c r="A12" s="13"/>
      <c r="B12" s="52" t="s">
        <v>30</v>
      </c>
      <c r="C12" s="53"/>
      <c r="D12" s="54"/>
      <c r="E12" s="55">
        <f>E9</f>
        <v>45748</v>
      </c>
      <c r="F12" s="55">
        <f>E24</f>
        <v>45768</v>
      </c>
      <c r="G12" s="17"/>
      <c r="H12" s="5">
        <f t="shared" si="5"/>
        <v>21</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35">
      <c r="A13" s="13"/>
      <c r="B13" s="52"/>
      <c r="C13" s="53"/>
      <c r="D13" s="54"/>
      <c r="E13" s="55">
        <f>F12</f>
        <v>45768</v>
      </c>
      <c r="F13" s="55"/>
      <c r="G13" s="17"/>
      <c r="H13" s="5" t="str">
        <f t="shared" si="5"/>
        <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35">
      <c r="A14" s="14"/>
      <c r="B14" s="57" t="s">
        <v>22</v>
      </c>
      <c r="C14" s="58"/>
      <c r="D14" s="59"/>
      <c r="E14" s="60"/>
      <c r="F14" s="61"/>
      <c r="G14" s="17"/>
      <c r="H14" s="5" t="str">
        <f t="shared" si="5"/>
        <v/>
      </c>
    </row>
    <row r="15" spans="1:64" s="46" customFormat="1" ht="30" customHeight="1" thickBot="1" x14ac:dyDescent="0.35">
      <c r="A15" s="14"/>
      <c r="B15" s="62" t="s">
        <v>34</v>
      </c>
      <c r="C15" s="63"/>
      <c r="D15" s="64"/>
      <c r="E15" s="65">
        <f>DATE(2025,4,5)</f>
        <v>45752</v>
      </c>
      <c r="F15" s="65">
        <f>E15+2</f>
        <v>45754</v>
      </c>
      <c r="G15" s="17"/>
      <c r="H15" s="5">
        <f t="shared" si="5"/>
        <v>3</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35">
      <c r="A16" s="13"/>
      <c r="B16" s="62" t="s">
        <v>32</v>
      </c>
      <c r="C16" s="63"/>
      <c r="D16" s="64"/>
      <c r="E16" s="65">
        <f>E15+2</f>
        <v>45754</v>
      </c>
      <c r="F16" s="65">
        <f>E16+3</f>
        <v>45757</v>
      </c>
      <c r="G16" s="17"/>
      <c r="H16" s="5">
        <f t="shared" si="5"/>
        <v>4</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35">
      <c r="A17" s="13"/>
      <c r="B17" s="62" t="s">
        <v>35</v>
      </c>
      <c r="C17" s="63"/>
      <c r="D17" s="64"/>
      <c r="E17" s="65">
        <f>F16</f>
        <v>45757</v>
      </c>
      <c r="F17" s="65">
        <f>E17+5</f>
        <v>45762</v>
      </c>
      <c r="G17" s="17"/>
      <c r="H17" s="5">
        <f t="shared" si="5"/>
        <v>6</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35">
      <c r="A18" s="13"/>
      <c r="B18" s="62" t="s">
        <v>36</v>
      </c>
      <c r="C18" s="63"/>
      <c r="D18" s="64"/>
      <c r="E18" s="65">
        <f>F17</f>
        <v>45762</v>
      </c>
      <c r="F18" s="65">
        <f>E18+2</f>
        <v>45764</v>
      </c>
      <c r="G18" s="17"/>
      <c r="H18" s="5">
        <f t="shared" si="5"/>
        <v>3</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35">
      <c r="A19" s="13"/>
      <c r="B19" s="62"/>
      <c r="C19" s="63"/>
      <c r="D19" s="64"/>
      <c r="E19" s="65">
        <f>E18</f>
        <v>45762</v>
      </c>
      <c r="F19" s="65"/>
      <c r="G19" s="17"/>
      <c r="H19" s="5" t="str">
        <f t="shared" si="5"/>
        <v/>
      </c>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row>
    <row r="20" spans="1:64" s="46" customFormat="1" ht="30" customHeight="1" thickBot="1" x14ac:dyDescent="0.35">
      <c r="A20" s="13"/>
      <c r="B20" s="66" t="s">
        <v>31</v>
      </c>
      <c r="C20" s="67"/>
      <c r="D20" s="68"/>
      <c r="E20" s="69"/>
      <c r="F20" s="70"/>
      <c r="G20" s="17"/>
      <c r="H20" s="5" t="str">
        <f t="shared" si="5"/>
        <v/>
      </c>
      <c r="I20" s="71"/>
      <c r="J20" s="71"/>
      <c r="K20" s="71"/>
      <c r="L20" s="71"/>
      <c r="M20" s="71"/>
      <c r="N20" s="71"/>
      <c r="O20" s="71"/>
      <c r="P20" s="71"/>
      <c r="Q20" s="71"/>
      <c r="R20" s="71"/>
      <c r="S20" s="71"/>
      <c r="T20" s="71"/>
      <c r="U20" s="71"/>
      <c r="V20" s="71"/>
      <c r="W20" s="71"/>
      <c r="X20" s="71"/>
      <c r="Y20" s="71"/>
      <c r="Z20" s="71"/>
      <c r="AA20" s="71"/>
      <c r="AB20" s="71"/>
      <c r="AC20" s="71"/>
      <c r="AD20" s="71"/>
      <c r="AE20" s="71"/>
      <c r="AF20" s="71"/>
      <c r="AG20" s="71"/>
      <c r="AH20" s="71"/>
      <c r="AI20" s="71"/>
      <c r="AJ20" s="71"/>
      <c r="AK20" s="71"/>
      <c r="AL20" s="71"/>
      <c r="AM20" s="71"/>
      <c r="AN20" s="71"/>
      <c r="AO20" s="71"/>
      <c r="AP20" s="71"/>
      <c r="AQ20" s="71"/>
      <c r="AR20" s="71"/>
      <c r="AS20" s="71"/>
      <c r="AT20" s="71"/>
      <c r="AU20" s="71"/>
      <c r="AV20" s="71"/>
      <c r="AW20" s="71"/>
      <c r="AX20" s="71"/>
      <c r="AY20" s="71"/>
      <c r="AZ20" s="71"/>
      <c r="BA20" s="71"/>
      <c r="BB20" s="71"/>
      <c r="BC20" s="71"/>
      <c r="BD20" s="71"/>
      <c r="BE20" s="71"/>
      <c r="BF20" s="71"/>
      <c r="BG20" s="71"/>
      <c r="BH20" s="71"/>
      <c r="BI20" s="71"/>
      <c r="BJ20" s="71"/>
      <c r="BK20" s="71"/>
      <c r="BL20" s="71"/>
    </row>
    <row r="21" spans="1:64" s="46" customFormat="1" ht="30" customHeight="1" thickBot="1" x14ac:dyDescent="0.35">
      <c r="A21" s="13"/>
      <c r="B21" s="72" t="s">
        <v>37</v>
      </c>
      <c r="C21" s="73"/>
      <c r="D21" s="74"/>
      <c r="E21" s="75">
        <f>E15</f>
        <v>45752</v>
      </c>
      <c r="F21" s="75">
        <f>F18</f>
        <v>45764</v>
      </c>
      <c r="G21" s="17"/>
      <c r="H21" s="5">
        <f t="shared" si="5"/>
        <v>13</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35">
      <c r="A22" s="13"/>
      <c r="B22" s="72" t="s">
        <v>39</v>
      </c>
      <c r="C22" s="73"/>
      <c r="D22" s="74"/>
      <c r="E22" s="75">
        <f>F21+1</f>
        <v>45765</v>
      </c>
      <c r="F22" s="75">
        <f>E24-1</f>
        <v>45767</v>
      </c>
      <c r="G22" s="17"/>
      <c r="H22" s="5">
        <f t="shared" si="5"/>
        <v>3</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35">
      <c r="A23" s="13"/>
      <c r="B23" s="72" t="s">
        <v>38</v>
      </c>
      <c r="C23" s="73"/>
      <c r="D23" s="74"/>
      <c r="E23" s="75">
        <f>E15</f>
        <v>45752</v>
      </c>
      <c r="F23" s="75">
        <f>F18</f>
        <v>45764</v>
      </c>
      <c r="G23" s="17"/>
      <c r="H23" s="5">
        <f t="shared" si="5"/>
        <v>13</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35">
      <c r="A24" s="13"/>
      <c r="B24" s="72" t="s">
        <v>40</v>
      </c>
      <c r="C24" s="73"/>
      <c r="D24" s="74"/>
      <c r="E24" s="75">
        <f>DATE(2025,4,21)</f>
        <v>45768</v>
      </c>
      <c r="F24" s="75">
        <f>E24+0</f>
        <v>45768</v>
      </c>
      <c r="G24" s="17"/>
      <c r="H24" s="5">
        <f t="shared" si="5"/>
        <v>1</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35">
      <c r="A25" s="13"/>
      <c r="B25" s="72"/>
      <c r="C25" s="73"/>
      <c r="D25" s="74"/>
      <c r="E25" s="75"/>
      <c r="F25" s="75"/>
      <c r="G25" s="17"/>
      <c r="H25" s="5" t="str">
        <f t="shared" si="5"/>
        <v/>
      </c>
      <c r="I25" s="51"/>
      <c r="J25" s="51"/>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row>
    <row r="26" spans="1:64" s="46" customFormat="1" ht="30" customHeight="1" thickBot="1" x14ac:dyDescent="0.35">
      <c r="A26" s="13"/>
      <c r="B26" s="76"/>
      <c r="C26" s="77"/>
      <c r="D26" s="78"/>
      <c r="E26" s="79"/>
      <c r="F26" s="80"/>
      <c r="G26" s="17"/>
      <c r="H26" s="5" t="str">
        <f t="shared" si="5"/>
        <v/>
      </c>
      <c r="I26" s="81"/>
      <c r="J26" s="81"/>
      <c r="K26" s="81"/>
      <c r="L26" s="81"/>
      <c r="M26" s="81"/>
      <c r="N26" s="81"/>
      <c r="O26" s="81"/>
      <c r="P26" s="81"/>
      <c r="Q26" s="81"/>
      <c r="R26" s="81"/>
      <c r="S26" s="81"/>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c r="BK26" s="81"/>
      <c r="BL26" s="81"/>
    </row>
    <row r="27" spans="1:64" s="46" customFormat="1" ht="30" customHeight="1" thickBot="1" x14ac:dyDescent="0.35">
      <c r="A27" s="13"/>
      <c r="B27" s="82"/>
      <c r="C27" s="83"/>
      <c r="D27" s="84"/>
      <c r="E27" s="85"/>
      <c r="F27" s="85"/>
      <c r="G27" s="17"/>
      <c r="H27" s="5" t="str">
        <f t="shared" si="5"/>
        <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35">
      <c r="A28" s="13"/>
      <c r="B28" s="82"/>
      <c r="C28" s="83"/>
      <c r="D28" s="84"/>
      <c r="E28" s="85"/>
      <c r="F28" s="85"/>
      <c r="G28" s="17"/>
      <c r="H28" s="5" t="str">
        <f t="shared" si="5"/>
        <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35">
      <c r="A29" s="13"/>
      <c r="B29" s="82"/>
      <c r="C29" s="83"/>
      <c r="D29" s="84"/>
      <c r="E29" s="85"/>
      <c r="F29" s="85"/>
      <c r="G29" s="17"/>
      <c r="H29" s="5" t="str">
        <f t="shared" si="5"/>
        <v/>
      </c>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row>
    <row r="30" spans="1:64" s="46" customFormat="1" ht="30" customHeight="1" thickBot="1" x14ac:dyDescent="0.35">
      <c r="A30" s="13"/>
      <c r="B30" s="82"/>
      <c r="C30" s="83"/>
      <c r="D30" s="84"/>
      <c r="E30" s="85"/>
      <c r="F30" s="85"/>
      <c r="G30" s="17"/>
      <c r="H30" s="5" t="str">
        <f t="shared" si="5"/>
        <v/>
      </c>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row>
    <row r="31" spans="1:64" s="46" customFormat="1" ht="30" customHeight="1" thickBot="1" x14ac:dyDescent="0.35">
      <c r="A31" s="13"/>
      <c r="B31" s="82"/>
      <c r="C31" s="83"/>
      <c r="D31" s="84"/>
      <c r="E31" s="85"/>
      <c r="F31" s="85"/>
      <c r="G31" s="17"/>
      <c r="H31" s="5" t="str">
        <f t="shared" si="5"/>
        <v/>
      </c>
      <c r="I31" s="51"/>
      <c r="J31" s="51"/>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row>
    <row r="32" spans="1:64" s="46" customFormat="1" ht="30" customHeight="1" thickBot="1" x14ac:dyDescent="0.35">
      <c r="A32" s="13"/>
      <c r="B32" s="86"/>
      <c r="C32" s="87"/>
      <c r="D32" s="88"/>
      <c r="E32" s="89"/>
      <c r="F32" s="89"/>
      <c r="G32" s="17"/>
      <c r="H32" s="5" t="str">
        <f t="shared" si="5"/>
        <v/>
      </c>
      <c r="I32" s="45"/>
      <c r="J32" s="45"/>
      <c r="K32" s="45"/>
      <c r="L32" s="45"/>
      <c r="M32" s="45"/>
      <c r="N32" s="45"/>
      <c r="O32" s="45"/>
      <c r="P32" s="45"/>
      <c r="Q32" s="45"/>
      <c r="R32" s="45"/>
      <c r="S32" s="45"/>
      <c r="T32" s="45"/>
      <c r="U32" s="45"/>
      <c r="V32" s="45"/>
      <c r="W32" s="45"/>
      <c r="X32" s="45"/>
      <c r="Y32" s="45"/>
      <c r="Z32" s="45"/>
      <c r="AA32" s="45"/>
      <c r="AB32" s="45"/>
      <c r="AC32" s="45"/>
      <c r="AD32" s="45"/>
      <c r="AE32" s="45"/>
      <c r="AF32" s="45"/>
      <c r="AG32" s="45"/>
      <c r="AH32" s="45"/>
      <c r="AI32" s="45"/>
      <c r="AJ32" s="45"/>
      <c r="AK32" s="45"/>
      <c r="AL32" s="45"/>
      <c r="AM32" s="45"/>
      <c r="AN32" s="45"/>
      <c r="AO32" s="45"/>
      <c r="AP32" s="45"/>
      <c r="AQ32" s="45"/>
      <c r="AR32" s="45"/>
      <c r="AS32" s="45"/>
      <c r="AT32" s="45"/>
      <c r="AU32" s="45"/>
      <c r="AV32" s="45"/>
      <c r="AW32" s="45"/>
      <c r="AX32" s="45"/>
      <c r="AY32" s="45"/>
      <c r="AZ32" s="45"/>
      <c r="BA32" s="45"/>
      <c r="BB32" s="45"/>
      <c r="BC32" s="45"/>
      <c r="BD32" s="45"/>
      <c r="BE32" s="45"/>
      <c r="BF32" s="45"/>
      <c r="BG32" s="45"/>
      <c r="BH32" s="45"/>
      <c r="BI32" s="45"/>
      <c r="BJ32" s="45"/>
      <c r="BK32" s="45"/>
      <c r="BL32" s="45"/>
    </row>
    <row r="33" spans="1:64" s="46" customFormat="1" ht="30" customHeight="1" thickBot="1" x14ac:dyDescent="0.35">
      <c r="A33" s="14"/>
      <c r="B33" s="90" t="s">
        <v>0</v>
      </c>
      <c r="C33" s="91"/>
      <c r="D33" s="92"/>
      <c r="E33" s="93"/>
      <c r="F33" s="94"/>
      <c r="G33" s="17"/>
      <c r="H33" s="6" t="str">
        <f t="shared" si="5"/>
        <v/>
      </c>
      <c r="I33" s="95"/>
      <c r="J33" s="95"/>
      <c r="K33" s="95"/>
      <c r="L33" s="95"/>
      <c r="M33" s="95"/>
      <c r="N33" s="95"/>
      <c r="O33" s="95"/>
      <c r="P33" s="95"/>
      <c r="Q33" s="95"/>
      <c r="R33" s="95"/>
      <c r="S33" s="95"/>
      <c r="T33" s="95"/>
      <c r="U33" s="95"/>
      <c r="V33" s="95"/>
      <c r="W33" s="95"/>
      <c r="X33" s="95"/>
      <c r="Y33" s="95"/>
      <c r="Z33" s="95"/>
      <c r="AA33" s="95"/>
      <c r="AB33" s="95"/>
      <c r="AC33" s="95"/>
      <c r="AD33" s="95"/>
      <c r="AE33" s="95"/>
      <c r="AF33" s="95"/>
      <c r="AG33" s="95"/>
      <c r="AH33" s="95"/>
      <c r="AI33" s="95"/>
      <c r="AJ33" s="95"/>
      <c r="AK33" s="95"/>
      <c r="AL33" s="95"/>
      <c r="AM33" s="95"/>
      <c r="AN33" s="95"/>
      <c r="AO33" s="95"/>
      <c r="AP33" s="95"/>
      <c r="AQ33" s="95"/>
      <c r="AR33" s="95"/>
      <c r="AS33" s="95"/>
      <c r="AT33" s="95"/>
      <c r="AU33" s="95"/>
      <c r="AV33" s="95"/>
      <c r="AW33" s="95"/>
      <c r="AX33" s="95"/>
      <c r="AY33" s="95"/>
      <c r="AZ33" s="95"/>
      <c r="BA33" s="95"/>
      <c r="BB33" s="95"/>
      <c r="BC33" s="95"/>
      <c r="BD33" s="95"/>
      <c r="BE33" s="95"/>
      <c r="BF33" s="95"/>
      <c r="BG33" s="95"/>
      <c r="BH33" s="95"/>
      <c r="BI33" s="95"/>
      <c r="BJ33" s="95"/>
      <c r="BK33" s="95"/>
      <c r="BL33" s="95"/>
    </row>
    <row r="34" spans="1:64" ht="30" customHeight="1" x14ac:dyDescent="0.3">
      <c r="G34" s="3"/>
    </row>
    <row r="35" spans="1:64" ht="30" customHeight="1" x14ac:dyDescent="0.3">
      <c r="C35" s="16"/>
      <c r="F35" s="15"/>
    </row>
    <row r="36" spans="1:64" ht="30" customHeight="1" x14ac:dyDescent="0.3">
      <c r="C36"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3">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1">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9">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1:BL25">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7:BL31">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0" xr:uid="{956902D1-D3B5-416D-BB69-9362D193BC0A}"/>
    <dataValidation allowBlank="1" showInputMessage="1" showErrorMessage="1" prompt="Phase 4's sample block starts in cell B26." sqref="A26"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3"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7" customWidth="1"/>
    <col min="2" max="16384" width="9" style="1"/>
  </cols>
  <sheetData>
    <row r="1" spans="1:2" ht="46.5" customHeight="1" x14ac:dyDescent="0.25"/>
    <row r="2" spans="1:2" s="9" customFormat="1" ht="15.5" x14ac:dyDescent="0.3">
      <c r="A2" s="99" t="s">
        <v>8</v>
      </c>
      <c r="B2" s="8"/>
    </row>
    <row r="3" spans="1:2" s="11" customFormat="1" ht="27" customHeight="1" x14ac:dyDescent="0.3">
      <c r="A3" s="100"/>
      <c r="B3" s="12"/>
    </row>
    <row r="4" spans="1:2" s="10" customFormat="1" ht="30.5" x14ac:dyDescent="0.85">
      <c r="A4" s="101" t="s">
        <v>7</v>
      </c>
    </row>
    <row r="5" spans="1:2" ht="74.25" customHeight="1" x14ac:dyDescent="0.25">
      <c r="A5" s="102" t="s">
        <v>16</v>
      </c>
    </row>
    <row r="6" spans="1:2" ht="26.25" customHeight="1" x14ac:dyDescent="0.25">
      <c r="A6" s="101" t="s">
        <v>19</v>
      </c>
    </row>
    <row r="7" spans="1:2" s="7" customFormat="1" ht="205" customHeight="1" x14ac:dyDescent="0.3">
      <c r="A7" s="103" t="s">
        <v>18</v>
      </c>
    </row>
    <row r="8" spans="1:2" s="10" customFormat="1" ht="30.5" x14ac:dyDescent="0.85">
      <c r="A8" s="101" t="s">
        <v>9</v>
      </c>
    </row>
    <row r="9" spans="1:2" ht="42" x14ac:dyDescent="0.25">
      <c r="A9" s="102" t="s">
        <v>17</v>
      </c>
    </row>
    <row r="10" spans="1:2" s="7" customFormat="1" ht="28" customHeight="1" x14ac:dyDescent="0.3">
      <c r="A10" s="104" t="s">
        <v>15</v>
      </c>
    </row>
    <row r="11" spans="1:2" s="10" customFormat="1" ht="30.5" x14ac:dyDescent="0.85">
      <c r="A11" s="101" t="s">
        <v>6</v>
      </c>
    </row>
    <row r="12" spans="1:2" ht="28" x14ac:dyDescent="0.25">
      <c r="A12" s="102" t="s">
        <v>14</v>
      </c>
    </row>
    <row r="13" spans="1:2" s="7" customFormat="1" ht="28" customHeight="1" x14ac:dyDescent="0.3">
      <c r="A13" s="104" t="s">
        <v>2</v>
      </c>
    </row>
    <row r="14" spans="1:2" s="10" customFormat="1" ht="30.5" x14ac:dyDescent="0.85">
      <c r="A14" s="101" t="s">
        <v>10</v>
      </c>
    </row>
    <row r="15" spans="1:2" ht="75" customHeight="1" x14ac:dyDescent="0.25">
      <c r="A15" s="102" t="s">
        <v>11</v>
      </c>
    </row>
    <row r="16" spans="1:2" ht="70" x14ac:dyDescent="0.25">
      <c r="A16" s="102" t="s">
        <v>12</v>
      </c>
    </row>
    <row r="17" spans="1:1" x14ac:dyDescent="0.25">
      <c r="A17" s="105"/>
    </row>
    <row r="18" spans="1:1" x14ac:dyDescent="0.25">
      <c r="A18" s="105"/>
    </row>
    <row r="19" spans="1:1" x14ac:dyDescent="0.25">
      <c r="A19" s="105"/>
    </row>
    <row r="20" spans="1:1" x14ac:dyDescent="0.25">
      <c r="A20" s="105"/>
    </row>
    <row r="21" spans="1:1" x14ac:dyDescent="0.25">
      <c r="A21" s="105"/>
    </row>
    <row r="22" spans="1:1" x14ac:dyDescent="0.25">
      <c r="A22" s="105"/>
    </row>
    <row r="23" spans="1:1" x14ac:dyDescent="0.25">
      <c r="A23" s="105"/>
    </row>
    <row r="24" spans="1:1" x14ac:dyDescent="0.25">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customXml/itemProps2.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3.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Owen Schafer</dc:creator>
  <dc:description/>
  <cp:lastModifiedBy>Owen Schafer</cp:lastModifiedBy>
  <dcterms:created xsi:type="dcterms:W3CDTF">2022-03-11T22:41:12Z</dcterms:created>
  <dcterms:modified xsi:type="dcterms:W3CDTF">2026-04-21T17:33:18Z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